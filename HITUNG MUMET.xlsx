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Dashboard" sheetId="1" state="visible" r:id="rId1"/>
    <sheet name="Ringkasan Bulanan" sheetId="2" state="visible" r:id="rId2"/>
    <sheet name="Detail Pengeluar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6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2" applyAlignment="1" pivotButton="0" quotePrefix="0" xfId="0">
      <alignment horizontal="right"/>
    </xf>
    <xf numFmtId="0" fontId="0" fillId="3" borderId="0" pivotButton="0" quotePrefix="0" xfId="0"/>
    <xf numFmtId="0" fontId="0" fillId="3" borderId="2" pivotButton="0" quotePrefix="0" xfId="0"/>
    <xf numFmtId="0" fontId="5" fillId="4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rgbClr val="FF0000"/>
                </a:solidFill>
              </a:rPr>
              <a:t>MONEY CONTROL</a:t>
            </a:r>
          </a:p>
        </rich>
      </tx>
      <overlay val="0"/>
      <spPr>
        <a:solidFill>
          <a:schemeClr val="bg2"/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2000" b="0" i="0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strRef>
              <f>'Ringkasan Bulanan'!$C$1</f>
              <strCache>
                <ptCount val="1"/>
                <pt idx="0">
                  <v>Dana Darurat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'Ringkasan Bulanan'!$A$3:$A$14</f>
              <strCache>
                <ptCount val="12"/>
                <pt idx="0">
                  <v>Februari</v>
                </pt>
                <pt idx="1">
                  <v>Maret</v>
                </pt>
                <pt idx="2">
                  <v>April</v>
                </pt>
                <pt idx="3">
                  <v>Mei</v>
                </pt>
                <pt idx="4">
                  <v>Juni</v>
                </pt>
                <pt idx="5">
                  <v>Juli</v>
                </pt>
                <pt idx="6">
                  <v>Agustus</v>
                </pt>
                <pt idx="7">
                  <v>September</v>
                </pt>
                <pt idx="8">
                  <v>Oktober</v>
                </pt>
                <pt idx="9">
                  <v>November</v>
                </pt>
                <pt idx="10">
                  <v>Desember</v>
                </pt>
                <pt idx="11">
                  <v>TOTAL</v>
                </pt>
              </strCache>
            </strRef>
          </cat>
          <val>
            <numRef>
              <f>'Ringkasan Bulanan'!$C$3:$C$14</f>
              <numCache>
                <formatCode>General</formatCode>
                <ptCount val="12"/>
                <pt idx="0">
                  <v>300</v>
                </pt>
              </numCache>
            </numRef>
          </val>
        </ser>
        <ser>
          <idx val="2"/>
          <order val="1"/>
          <tx>
            <strRef>
              <f>'Ringkasan Bulanan'!$D$1</f>
              <strCache>
                <ptCount val="1"/>
                <pt idx="0">
                  <v>Tabungan Wajib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'Ringkasan Bulanan'!$A$3:$A$14</f>
              <strCache>
                <ptCount val="12"/>
                <pt idx="0">
                  <v>Februari</v>
                </pt>
                <pt idx="1">
                  <v>Maret</v>
                </pt>
                <pt idx="2">
                  <v>April</v>
                </pt>
                <pt idx="3">
                  <v>Mei</v>
                </pt>
                <pt idx="4">
                  <v>Juni</v>
                </pt>
                <pt idx="5">
                  <v>Juli</v>
                </pt>
                <pt idx="6">
                  <v>Agustus</v>
                </pt>
                <pt idx="7">
                  <v>September</v>
                </pt>
                <pt idx="8">
                  <v>Oktober</v>
                </pt>
                <pt idx="9">
                  <v>November</v>
                </pt>
                <pt idx="10">
                  <v>Desember</v>
                </pt>
                <pt idx="11">
                  <v>TOTAL</v>
                </pt>
              </strCache>
            </strRef>
          </cat>
          <val>
            <numRef>
              <f>'Ringkasan Bulanan'!$D$3:$D$14</f>
              <numCache>
                <formatCode>General</formatCode>
                <ptCount val="12"/>
                <pt idx="0">
                  <v>1300</v>
                </pt>
              </numCache>
            </numRef>
          </val>
        </ser>
        <ser>
          <idx val="3"/>
          <order val="2"/>
          <tx>
            <strRef>
              <f>'Ringkasan Bulanan'!$E$1</f>
              <strCache>
                <ptCount val="1"/>
                <pt idx="0">
                  <v>Jumlah Tabungan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'Ringkasan Bulanan'!$A$3:$A$14</f>
              <strCache>
                <ptCount val="12"/>
                <pt idx="0">
                  <v>Februari</v>
                </pt>
                <pt idx="1">
                  <v>Maret</v>
                </pt>
                <pt idx="2">
                  <v>April</v>
                </pt>
                <pt idx="3">
                  <v>Mei</v>
                </pt>
                <pt idx="4">
                  <v>Juni</v>
                </pt>
                <pt idx="5">
                  <v>Juli</v>
                </pt>
                <pt idx="6">
                  <v>Agustus</v>
                </pt>
                <pt idx="7">
                  <v>September</v>
                </pt>
                <pt idx="8">
                  <v>Oktober</v>
                </pt>
                <pt idx="9">
                  <v>November</v>
                </pt>
                <pt idx="10">
                  <v>Desember</v>
                </pt>
                <pt idx="11">
                  <v>TOTAL</v>
                </pt>
              </strCache>
            </strRef>
          </cat>
          <val>
            <numRef>
              <f>'Ringkasan Bulanan'!$E$3:$E$14</f>
              <numCache>
                <formatCode>General</formatCode>
                <ptCount val="12"/>
                <pt idx="0">
                  <v>1600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6600</v>
                </pt>
              </numCache>
            </numRef>
          </val>
        </ser>
        <ser>
          <idx val="4"/>
          <order val="3"/>
          <tx>
            <strRef>
              <f>'Ringkasan Bulanan'!$F$1</f>
              <strCache>
                <ptCount val="1"/>
                <pt idx="0">
                  <v>Pengeluaran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'Ringkasan Bulanan'!$A$3:$A$14</f>
              <strCache>
                <ptCount val="12"/>
                <pt idx="0">
                  <v>Februari</v>
                </pt>
                <pt idx="1">
                  <v>Maret</v>
                </pt>
                <pt idx="2">
                  <v>April</v>
                </pt>
                <pt idx="3">
                  <v>Mei</v>
                </pt>
                <pt idx="4">
                  <v>Juni</v>
                </pt>
                <pt idx="5">
                  <v>Juli</v>
                </pt>
                <pt idx="6">
                  <v>Agustus</v>
                </pt>
                <pt idx="7">
                  <v>September</v>
                </pt>
                <pt idx="8">
                  <v>Oktober</v>
                </pt>
                <pt idx="9">
                  <v>November</v>
                </pt>
                <pt idx="10">
                  <v>Desember</v>
                </pt>
                <pt idx="11">
                  <v>TOTAL</v>
                </pt>
              </strCache>
            </strRef>
          </cat>
          <val>
            <numRef>
              <f>'Ringkasan Bulanan'!$F$3:$F$14</f>
              <numCache>
                <formatCode>General</formatCode>
                <ptCount val="12"/>
                <pt idx="0">
                  <v>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99"/>
        <axId val="1063348159"/>
        <axId val="1063348639"/>
      </barChart>
      <catAx>
        <axId val="10633481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63348639"/>
        <crosses val="autoZero"/>
        <auto val="1"/>
        <lblAlgn val="ctr"/>
        <lblOffset val="100"/>
        <noMultiLvlLbl val="0"/>
      </catAx>
      <valAx>
        <axId val="10633486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63348159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575930</colOff>
      <row>0</row>
      <rowOff>0</rowOff>
    </from>
    <to>
      <col>10</col>
      <colOff>593651</colOff>
      <row>14</row>
      <rowOff>177209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42" workbookViewId="0">
      <selection activeCell="B6" sqref="B6"/>
    </sheetView>
  </sheetViews>
  <sheetFormatPr baseColWidth="8" defaultRowHeight="14.4"/>
  <cols>
    <col width="27.109375" bestFit="1" customWidth="1" min="1" max="1"/>
    <col width="5.6640625" bestFit="1" customWidth="1" min="2" max="2"/>
  </cols>
  <sheetData>
    <row r="1" ht="21" customHeight="1">
      <c r="A1" s="8" t="inlineStr">
        <is>
          <t>Ringkasan Keuangan</t>
        </is>
      </c>
      <c r="B1" s="11" t="n"/>
    </row>
    <row r="2">
      <c r="A2" s="11" t="n"/>
      <c r="B2" s="11" t="n"/>
    </row>
    <row r="3">
      <c r="A3" s="10" t="inlineStr">
        <is>
          <t>Total Penghasilan</t>
        </is>
      </c>
      <c r="B3" s="11">
        <f>SUM('Ringkasan Bulanan'!B2:B13)</f>
        <v/>
      </c>
    </row>
    <row r="4">
      <c r="A4" s="10" t="inlineStr">
        <is>
          <t>Total Tabungan</t>
        </is>
      </c>
      <c r="B4" s="11">
        <f>SUM('Ringkasan Bulanan'!E2:E13)</f>
        <v/>
      </c>
    </row>
    <row r="5">
      <c r="A5" s="10" t="inlineStr">
        <is>
          <t>Total Pengeluaran</t>
        </is>
      </c>
      <c r="B5" s="11">
        <f>SUM('Ringkasan Bulanan'!F2:F13)</f>
        <v/>
      </c>
    </row>
    <row r="6">
      <c r="A6" s="10" t="inlineStr">
        <is>
          <t>Sisa Total</t>
        </is>
      </c>
      <c r="B6" s="11">
        <f>SUM('Ringkasan Bulanan'!G2:G13)</f>
        <v/>
      </c>
    </row>
    <row r="7">
      <c r="A7" s="11" t="n"/>
      <c r="B7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topLeftCell="C1" zoomScale="132" zoomScaleNormal="77" workbookViewId="0">
      <selection activeCell="G2" sqref="G2"/>
    </sheetView>
  </sheetViews>
  <sheetFormatPr baseColWidth="8" defaultRowHeight="14.4"/>
  <cols>
    <col width="18" customWidth="1" min="1" max="7"/>
  </cols>
  <sheetData>
    <row r="1">
      <c r="A1" s="1" t="inlineStr">
        <is>
          <t>Bulan</t>
        </is>
      </c>
      <c r="B1" s="1" t="inlineStr">
        <is>
          <t>Penghasilan</t>
        </is>
      </c>
      <c r="C1" s="1" t="inlineStr">
        <is>
          <t>Dana Darurat</t>
        </is>
      </c>
      <c r="D1" s="1" t="inlineStr">
        <is>
          <t>Tabungan Wajib</t>
        </is>
      </c>
      <c r="E1" s="1" t="inlineStr">
        <is>
          <t>Jumlah Tabungan</t>
        </is>
      </c>
      <c r="F1" s="1" t="inlineStr">
        <is>
          <t>Pengeluaran</t>
        </is>
      </c>
      <c r="G1" s="1" t="inlineStr">
        <is>
          <t>Sisa</t>
        </is>
      </c>
    </row>
    <row r="2">
      <c r="A2" s="6" t="inlineStr">
        <is>
          <t>Januari</t>
        </is>
      </c>
      <c r="B2" s="7" t="n"/>
      <c r="C2" s="7" t="n"/>
      <c r="D2" s="7" t="n"/>
      <c r="E2" s="7" t="n">
        <v>5000</v>
      </c>
      <c r="F2" s="7" t="n"/>
      <c r="G2" s="7" t="n"/>
    </row>
    <row r="3">
      <c r="A3" s="2" t="inlineStr">
        <is>
          <t>Februari</t>
        </is>
      </c>
      <c r="B3" s="2" t="n">
        <v>3000</v>
      </c>
      <c r="C3" s="2" t="n">
        <v>300</v>
      </c>
      <c r="D3" s="2" t="n">
        <v>1300</v>
      </c>
      <c r="E3" s="2">
        <f>C3+D3</f>
        <v/>
      </c>
      <c r="F3" s="2">
        <f>SUM(200,400)</f>
        <v/>
      </c>
      <c r="G3" s="2">
        <f>B3-E3-F3</f>
        <v/>
      </c>
    </row>
    <row r="4">
      <c r="A4" s="2" t="inlineStr">
        <is>
          <t>Maret</t>
        </is>
      </c>
      <c r="B4" s="2" t="n"/>
      <c r="C4" s="2" t="n"/>
      <c r="D4" s="2" t="n"/>
      <c r="E4" s="2">
        <f>C4+D4</f>
        <v/>
      </c>
      <c r="F4" s="2" t="n"/>
      <c r="G4" s="2">
        <f>B4-E4-F4</f>
        <v/>
      </c>
    </row>
    <row r="5">
      <c r="A5" s="2" t="inlineStr">
        <is>
          <t>April</t>
        </is>
      </c>
      <c r="B5" s="2" t="n"/>
      <c r="C5" s="2" t="n"/>
      <c r="D5" s="2" t="n"/>
      <c r="E5" s="2">
        <f>C5+D5</f>
        <v/>
      </c>
      <c r="F5" s="2" t="n"/>
      <c r="G5" s="2">
        <f>B5-E5-F5</f>
        <v/>
      </c>
    </row>
    <row r="6">
      <c r="A6" s="2" t="inlineStr">
        <is>
          <t>Mei</t>
        </is>
      </c>
      <c r="B6" s="2" t="n"/>
      <c r="C6" s="2" t="n"/>
      <c r="D6" s="2" t="n"/>
      <c r="E6" s="2">
        <f>C6+D6</f>
        <v/>
      </c>
      <c r="F6" s="2" t="n"/>
      <c r="G6" s="2">
        <f>B6-E6-F6</f>
        <v/>
      </c>
    </row>
    <row r="7">
      <c r="A7" s="2" t="inlineStr">
        <is>
          <t>Juni</t>
        </is>
      </c>
      <c r="B7" s="2" t="n"/>
      <c r="C7" s="2" t="n"/>
      <c r="D7" s="2" t="n"/>
      <c r="E7" s="2">
        <f>C7+D7</f>
        <v/>
      </c>
      <c r="F7" s="2" t="n"/>
      <c r="G7" s="2">
        <f>B7-E7-F7</f>
        <v/>
      </c>
    </row>
    <row r="8">
      <c r="A8" s="2" t="inlineStr">
        <is>
          <t>Juli</t>
        </is>
      </c>
      <c r="B8" s="2" t="n"/>
      <c r="C8" s="2" t="n"/>
      <c r="D8" s="2" t="n"/>
      <c r="E8" s="2">
        <f>C8+D8</f>
        <v/>
      </c>
      <c r="F8" s="2" t="n"/>
      <c r="G8" s="2">
        <f>B8-E8-F8</f>
        <v/>
      </c>
    </row>
    <row r="9">
      <c r="A9" s="2" t="inlineStr">
        <is>
          <t>Agustus</t>
        </is>
      </c>
      <c r="B9" s="2" t="n"/>
      <c r="C9" s="2" t="n"/>
      <c r="D9" s="2" t="n"/>
      <c r="E9" s="2">
        <f>C9+D9</f>
        <v/>
      </c>
      <c r="F9" s="2" t="n"/>
      <c r="G9" s="2">
        <f>B9-E9-F9</f>
        <v/>
      </c>
    </row>
    <row r="10">
      <c r="A10" s="2" t="inlineStr">
        <is>
          <t>September</t>
        </is>
      </c>
      <c r="B10" s="2" t="n"/>
      <c r="C10" s="2" t="n"/>
      <c r="D10" s="2" t="n"/>
      <c r="E10" s="2">
        <f>C10+D10</f>
        <v/>
      </c>
      <c r="F10" s="2" t="n"/>
      <c r="G10" s="2">
        <f>B10-E10-F10</f>
        <v/>
      </c>
    </row>
    <row r="11">
      <c r="A11" s="2" t="inlineStr">
        <is>
          <t>Oktober</t>
        </is>
      </c>
      <c r="B11" s="2" t="n"/>
      <c r="C11" s="2" t="n"/>
      <c r="D11" s="2" t="n"/>
      <c r="E11" s="2">
        <f>C11+D11</f>
        <v/>
      </c>
      <c r="F11" s="2" t="n"/>
      <c r="G11" s="2">
        <f>B11-E11-F11</f>
        <v/>
      </c>
    </row>
    <row r="12">
      <c r="A12" s="2" t="inlineStr">
        <is>
          <t>November</t>
        </is>
      </c>
      <c r="B12" s="2" t="n"/>
      <c r="C12" s="2" t="n"/>
      <c r="D12" s="2" t="n"/>
      <c r="E12" s="2">
        <f>C12+D12</f>
        <v/>
      </c>
      <c r="F12" s="2" t="n"/>
      <c r="G12" s="2">
        <f>B12-E12-F12</f>
        <v/>
      </c>
    </row>
    <row r="13">
      <c r="A13" s="2" t="inlineStr">
        <is>
          <t>Desember</t>
        </is>
      </c>
      <c r="B13" s="2" t="n"/>
      <c r="C13" s="2" t="n"/>
      <c r="D13" s="2" t="n"/>
      <c r="E13" s="2">
        <f>C13+D13</f>
        <v/>
      </c>
      <c r="F13" s="2" t="n"/>
      <c r="G13" s="2">
        <f>B13-E13-F13</f>
        <v/>
      </c>
    </row>
    <row r="14">
      <c r="A14" s="3" t="inlineStr">
        <is>
          <t>TOTAL</t>
        </is>
      </c>
      <c r="B14" s="4" t="n"/>
      <c r="C14" s="4" t="n"/>
      <c r="D14" s="4" t="n"/>
      <c r="E14" s="5">
        <f>SUM(E2:E13)</f>
        <v/>
      </c>
      <c r="F14" s="4" t="n"/>
      <c r="G1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2" sqref="A2"/>
    </sheetView>
  </sheetViews>
  <sheetFormatPr baseColWidth="8" defaultRowHeight="14.4"/>
  <cols>
    <col width="22" customWidth="1" min="1" max="4"/>
  </cols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Deskripsi</t>
        </is>
      </c>
      <c r="D1" s="1" t="inlineStr">
        <is>
          <t>Jumlah (Rp)</t>
        </is>
      </c>
    </row>
    <row r="2">
      <c r="A2" t="inlineStr">
        <is>
          <t>2026-03-13</t>
        </is>
      </c>
      <c r="B2" t="inlineStr">
        <is>
          <t>air</t>
        </is>
      </c>
      <c r="C2" t="inlineStr">
        <is>
          <t>le meneral</t>
        </is>
      </c>
      <c r="D2" t="n">
        <v>6000</v>
      </c>
    </row>
    <row r="3">
      <c r="A3" t="inlineStr">
        <is>
          <t>2026-03-13</t>
        </is>
      </c>
      <c r="B3" t="inlineStr">
        <is>
          <t>makan</t>
        </is>
      </c>
      <c r="C3" t="inlineStr">
        <is>
          <t>kupat tahu</t>
        </is>
      </c>
      <c r="D3" t="n">
        <v>20000</v>
      </c>
    </row>
    <row r="4">
      <c r="A4" t="inlineStr">
        <is>
          <t>2026-03-13</t>
        </is>
      </c>
      <c r="B4" t="inlineStr">
        <is>
          <t>makan</t>
        </is>
      </c>
      <c r="C4" t="inlineStr">
        <is>
          <t>mie ayam</t>
        </is>
      </c>
      <c r="D4" t="n">
        <v>12000</v>
      </c>
    </row>
    <row r="5">
      <c r="A5" t="inlineStr">
        <is>
          <t>2026-03-13</t>
        </is>
      </c>
      <c r="B5" t="inlineStr">
        <is>
          <t>makan</t>
        </is>
      </c>
      <c r="C5" t="inlineStr">
        <is>
          <t>mie ayam</t>
        </is>
      </c>
      <c r="D5" t="n">
        <v>12000</v>
      </c>
    </row>
    <row r="6">
      <c r="A6" t="inlineStr">
        <is>
          <t>2026-03-13</t>
        </is>
      </c>
      <c r="B6" t="inlineStr">
        <is>
          <t>minum</t>
        </is>
      </c>
      <c r="C6" t="inlineStr">
        <is>
          <t>air kolam</t>
        </is>
      </c>
      <c r="D6" t="n">
        <v>5000</v>
      </c>
    </row>
    <row r="7">
      <c r="A7" t="inlineStr">
        <is>
          <t>2026-03-13</t>
        </is>
      </c>
      <c r="B7" t="inlineStr">
        <is>
          <t>makan</t>
        </is>
      </c>
      <c r="C7" t="inlineStr">
        <is>
          <t>shusi</t>
        </is>
      </c>
      <c r="D7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2026-03-12T18:15:10Z</dcterms:created>
  <dcterms:modified xsi:type="dcterms:W3CDTF">2026-03-13T13:54:22Z</dcterms:modified>
  <cp:lastModifiedBy>Dimas Panemu</cp:lastModifiedBy>
</cp:coreProperties>
</file>